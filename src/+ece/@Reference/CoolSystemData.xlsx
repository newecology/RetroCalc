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10" documentId="13_ncr:1_{1F12EA8F-83E1-4C83-BCFD-6027535013BF}" xr6:coauthVersionLast="47" xr6:coauthVersionMax="47" xr10:uidLastSave="{F4F839BB-247A-4B93-85AA-C14F7D082D02}"/>
  <bookViews>
    <workbookView xWindow="-120" yWindow="-120" windowWidth="29040" windowHeight="17520" xr2:uid="{776961A7-5314-4F5D-823D-C0B8E2B4A5A0}"/>
  </bookViews>
  <sheets>
    <sheet name="heatSystemData" sheetId="1" r:id="rId1"/>
  </sheets>
  <definedNames>
    <definedName name="wrn.JPLIMPRES." hidden="1">{"JPL1",#N/A,FALSE,"JPL International";"JPL2",#N/A,FALSE,"JPL International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D10" i="1"/>
  <c r="D9" i="1"/>
</calcChain>
</file>

<file path=xl/sharedStrings.xml><?xml version="1.0" encoding="utf-8"?>
<sst xmlns="http://schemas.openxmlformats.org/spreadsheetml/2006/main" count="89" uniqueCount="57">
  <si>
    <t>SystemType</t>
  </si>
  <si>
    <t>condGasBoilerOAreset</t>
  </si>
  <si>
    <t>ASHPorVRFgreaterThan6TonsDucted</t>
  </si>
  <si>
    <t>ASHPlessThan6TonsNonDucted</t>
  </si>
  <si>
    <t>electricResistance</t>
  </si>
  <si>
    <t>condensing gas furnace</t>
  </si>
  <si>
    <t>non-condensing gas/oil furnace</t>
  </si>
  <si>
    <t>COP</t>
  </si>
  <si>
    <t>electric resistance</t>
  </si>
  <si>
    <t>water source heat pump</t>
  </si>
  <si>
    <t>ground source heat pump</t>
  </si>
  <si>
    <t>air to water heat pump</t>
  </si>
  <si>
    <t>none</t>
  </si>
  <si>
    <t>Default Cooling System Efficiencies</t>
  </si>
  <si>
    <t>efficiency = polynomial function of outdoor air temp °F</t>
  </si>
  <si>
    <t>water cooled chiller</t>
  </si>
  <si>
    <t>air cooled chiller</t>
  </si>
  <si>
    <t>combined heating/cooling drop down list</t>
  </si>
  <si>
    <t>description</t>
  </si>
  <si>
    <t>condensing gas boiler with outdoor air reset</t>
  </si>
  <si>
    <t>condGasBoilerNoOAreset</t>
  </si>
  <si>
    <t>condensing gas boiler no outdoor air reset</t>
  </si>
  <si>
    <t>nonCondGasOrOilBoilerOAreset</t>
  </si>
  <si>
    <t>non-condensing gas/oil boiler with outdoor air reset</t>
  </si>
  <si>
    <t>nonCondGasOrOilBoilerNoOAreset</t>
  </si>
  <si>
    <t>non-condensing gas/oil boiler no outdoor air reset</t>
  </si>
  <si>
    <t>condGasFurnace</t>
  </si>
  <si>
    <t>nonCondGasOrOilFurnace</t>
  </si>
  <si>
    <t>ASHPlessThan6TonsDucted</t>
  </si>
  <si>
    <t>air source heat pump &lt; 6 tons - ducted</t>
  </si>
  <si>
    <t>air source heat pump &lt; 6 tons - non-ducted</t>
  </si>
  <si>
    <t>air source heat pump or VRF &gt;= 6 tons ducted</t>
  </si>
  <si>
    <t>ASHPorVRFgreaterThan6TonsNonDucted</t>
  </si>
  <si>
    <t>air source heat pump or VRF &gt;=6 tons non-ducted</t>
  </si>
  <si>
    <t>PTACorPTHP</t>
  </si>
  <si>
    <t>packaged terminal air conditioner or heat pump</t>
  </si>
  <si>
    <t>waterSourceHeatPump</t>
  </si>
  <si>
    <t>groundSourceHeatPump</t>
  </si>
  <si>
    <t>window air conditioner</t>
  </si>
  <si>
    <t>windowAirConditioner</t>
  </si>
  <si>
    <t>waterCooledChiller</t>
  </si>
  <si>
    <t>airCooledChiller</t>
  </si>
  <si>
    <t>air2WaterHeatPump</t>
  </si>
  <si>
    <t>Cooling system data table</t>
  </si>
  <si>
    <t>averageCOP</t>
  </si>
  <si>
    <t>ASHP_COP95F</t>
  </si>
  <si>
    <t>COP curve as function of OAT drybulb</t>
  </si>
  <si>
    <t>DefaultDistribEff</t>
  </si>
  <si>
    <t>DefaultControlskW</t>
  </si>
  <si>
    <t>DefaultCoolingEff</t>
  </si>
  <si>
    <t>EffUnits</t>
  </si>
  <si>
    <t>FourthOrderPower</t>
  </si>
  <si>
    <t>ThirdOrderPower</t>
  </si>
  <si>
    <t>SecondOrderPower</t>
  </si>
  <si>
    <t>FirstOrderPower</t>
  </si>
  <si>
    <t>Constant</t>
  </si>
  <si>
    <t>CurveEffUnits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</si>
</sst>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3" borderId="0" xfId="0" applyFont="1" applyFill="1" applyAlignment="1">
      <alignment horizont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DD34CBB4-98B3-4C75-AAF0-EE15C532A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C604-427B-4D75-A59B-C4F41D062267}">
  <dimension ref="A1:L38"/>
  <sheetViews>
    <sheetView tabSelected="1" zoomScale="115" zoomScaleNormal="115" workbookViewId="0">
      <selection activeCell="K3" sqref="K3"/>
    </sheetView>
  </sheetViews>
  <sheetFormatPr defaultColWidth="8.7109375" defaultRowHeight="15" x14ac:dyDescent="0.2"/>
  <cols>
    <col min="1" max="1" width="41.42578125" style="1" customWidth="1"/>
    <col min="2" max="2" width="17.140625" style="1" customWidth="1"/>
    <col min="3" max="3" width="18.140625" style="1" customWidth="1"/>
    <col min="4" max="4" width="17.7109375" style="1" customWidth="1"/>
    <col min="5" max="5" width="18.28515625" style="1" customWidth="1"/>
    <col min="6" max="6" width="13.5703125" style="1" customWidth="1"/>
    <col min="7" max="7" width="18.28515625" style="1" customWidth="1"/>
    <col min="8" max="8" width="12.28515625" style="1" customWidth="1"/>
    <col min="9" max="9" width="10.85546875" style="1" customWidth="1"/>
    <col min="10" max="10" width="10.7109375" style="1" customWidth="1"/>
    <col min="11" max="11" width="13.5703125" style="1" customWidth="1"/>
    <col min="12" max="12" width="10.42578125" style="1" customWidth="1"/>
    <col min="13" max="13" width="14.28515625" style="1" customWidth="1"/>
    <col min="14" max="14" width="10.140625" style="1" customWidth="1"/>
    <col min="15" max="15" width="14.85546875" style="1" customWidth="1"/>
    <col min="16" max="16" width="8.85546875" style="1" customWidth="1"/>
    <col min="17" max="17" width="14" style="1" customWidth="1"/>
    <col min="18" max="18" width="9.140625" style="1" customWidth="1"/>
    <col min="19" max="19" width="14.5703125" style="1" customWidth="1"/>
    <col min="20" max="16384" width="8.7109375" style="1"/>
  </cols>
  <sheetData>
    <row r="1" spans="1:12" x14ac:dyDescent="0.2">
      <c r="A1" s="1" t="s">
        <v>43</v>
      </c>
      <c r="B1" s="1" t="s">
        <v>13</v>
      </c>
      <c r="F1" s="1" t="s">
        <v>14</v>
      </c>
    </row>
    <row r="2" spans="1:12" x14ac:dyDescent="0.2">
      <c r="A2" s="2" t="s">
        <v>0</v>
      </c>
      <c r="B2" s="2" t="s">
        <v>47</v>
      </c>
      <c r="C2" s="2" t="s">
        <v>48</v>
      </c>
      <c r="D2" s="2" t="s">
        <v>49</v>
      </c>
      <c r="E2" s="2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2" t="s">
        <v>55</v>
      </c>
      <c r="K2" s="2" t="s">
        <v>56</v>
      </c>
    </row>
    <row r="3" spans="1:12" x14ac:dyDescent="0.2">
      <c r="A3" s="2" t="s">
        <v>39</v>
      </c>
      <c r="B3" s="4">
        <v>1</v>
      </c>
      <c r="C3" s="4">
        <v>0.01</v>
      </c>
      <c r="D3" s="3">
        <v>2.9</v>
      </c>
      <c r="E3" s="5" t="s">
        <v>44</v>
      </c>
      <c r="F3" s="2">
        <v>0</v>
      </c>
      <c r="G3" s="2">
        <v>0</v>
      </c>
      <c r="H3" s="2">
        <v>0</v>
      </c>
      <c r="I3" s="2">
        <v>0</v>
      </c>
      <c r="J3" s="2">
        <v>2.9</v>
      </c>
      <c r="K3" s="5" t="s">
        <v>7</v>
      </c>
      <c r="L3" s="1" t="s">
        <v>46</v>
      </c>
    </row>
    <row r="4" spans="1:12" x14ac:dyDescent="0.2">
      <c r="A4" s="2" t="s">
        <v>28</v>
      </c>
      <c r="B4" s="3">
        <v>0.92</v>
      </c>
      <c r="C4" s="3">
        <v>0.02</v>
      </c>
      <c r="D4" s="3">
        <v>2.9</v>
      </c>
      <c r="E4" s="5" t="s">
        <v>45</v>
      </c>
      <c r="F4" s="2">
        <v>0</v>
      </c>
      <c r="G4" s="2">
        <v>2.6396761745739322E-6</v>
      </c>
      <c r="H4" s="2">
        <v>-2.7677760301532059E-4</v>
      </c>
      <c r="I4" s="2">
        <v>-5.7172041541513535E-2</v>
      </c>
      <c r="J4" s="2">
        <v>8.5660694534817292</v>
      </c>
      <c r="K4" s="5" t="s">
        <v>7</v>
      </c>
    </row>
    <row r="5" spans="1:12" x14ac:dyDescent="0.2">
      <c r="A5" s="2" t="s">
        <v>3</v>
      </c>
      <c r="B5" s="3">
        <v>0.96</v>
      </c>
      <c r="C5" s="3">
        <v>0.02</v>
      </c>
      <c r="D5" s="3">
        <v>2.9</v>
      </c>
      <c r="E5" s="5" t="s">
        <v>45</v>
      </c>
      <c r="F5" s="2">
        <v>0</v>
      </c>
      <c r="G5" s="2">
        <v>2.6396761745739322E-6</v>
      </c>
      <c r="H5" s="2">
        <v>-2.7677760301532059E-4</v>
      </c>
      <c r="I5" s="2">
        <v>-5.7172041541513535E-2</v>
      </c>
      <c r="J5" s="2">
        <v>8.5660694534817292</v>
      </c>
      <c r="K5" s="5" t="s">
        <v>7</v>
      </c>
    </row>
    <row r="6" spans="1:12" x14ac:dyDescent="0.2">
      <c r="A6" s="2" t="s">
        <v>2</v>
      </c>
      <c r="B6" s="3">
        <v>0.92</v>
      </c>
      <c r="C6" s="3">
        <v>0.02</v>
      </c>
      <c r="D6" s="3">
        <v>3.1</v>
      </c>
      <c r="E6" s="5" t="s">
        <v>45</v>
      </c>
      <c r="F6" s="2">
        <v>0</v>
      </c>
      <c r="G6" s="2">
        <v>2.6541360717430692E-6</v>
      </c>
      <c r="H6" s="2">
        <v>-7.4345963436705804E-4</v>
      </c>
      <c r="I6" s="2">
        <v>2.3958711718900919E-2</v>
      </c>
      <c r="J6" s="2">
        <v>5.2580556723563978</v>
      </c>
      <c r="K6" s="5" t="s">
        <v>7</v>
      </c>
    </row>
    <row r="7" spans="1:12" x14ac:dyDescent="0.2">
      <c r="A7" s="2" t="s">
        <v>32</v>
      </c>
      <c r="B7" s="3">
        <v>0.96</v>
      </c>
      <c r="C7" s="3">
        <v>0.02</v>
      </c>
      <c r="D7" s="3">
        <v>3.1</v>
      </c>
      <c r="E7" s="5" t="s">
        <v>45</v>
      </c>
      <c r="F7" s="2">
        <v>0</v>
      </c>
      <c r="G7" s="2">
        <v>2.6541360717430692E-6</v>
      </c>
      <c r="H7" s="2">
        <v>-7.4345963436705804E-4</v>
      </c>
      <c r="I7" s="2">
        <v>2.3958711718900919E-2</v>
      </c>
      <c r="J7" s="2">
        <v>5.2580556723563978</v>
      </c>
      <c r="K7" s="5" t="s">
        <v>7</v>
      </c>
    </row>
    <row r="8" spans="1:12" x14ac:dyDescent="0.2">
      <c r="A8" s="2" t="s">
        <v>34</v>
      </c>
      <c r="B8" s="4">
        <v>1</v>
      </c>
      <c r="C8" s="4">
        <v>0.02</v>
      </c>
      <c r="D8" s="3">
        <v>2.9</v>
      </c>
      <c r="E8" s="5" t="s">
        <v>45</v>
      </c>
      <c r="F8" s="2">
        <v>0</v>
      </c>
      <c r="G8" s="2">
        <v>0</v>
      </c>
      <c r="H8" s="2">
        <v>0</v>
      </c>
      <c r="I8" s="6">
        <v>-4.076123986285999E-2</v>
      </c>
      <c r="J8" s="6">
        <v>6.7723177869716995</v>
      </c>
      <c r="K8" s="5" t="s">
        <v>7</v>
      </c>
    </row>
    <row r="9" spans="1:12" x14ac:dyDescent="0.2">
      <c r="A9" s="2" t="s">
        <v>36</v>
      </c>
      <c r="B9" s="3">
        <v>0.97</v>
      </c>
      <c r="C9" s="3">
        <v>0.03</v>
      </c>
      <c r="D9" s="4">
        <f>15/3.413</f>
        <v>4.3949604453559923</v>
      </c>
      <c r="E9" s="5" t="s">
        <v>44</v>
      </c>
      <c r="F9" s="2">
        <v>0</v>
      </c>
      <c r="G9" s="2">
        <v>0</v>
      </c>
      <c r="H9" s="2">
        <v>0</v>
      </c>
      <c r="I9" s="2">
        <v>0</v>
      </c>
      <c r="J9" s="8">
        <f>D9</f>
        <v>4.3949604453559923</v>
      </c>
      <c r="K9" s="5" t="s">
        <v>7</v>
      </c>
    </row>
    <row r="10" spans="1:12" x14ac:dyDescent="0.2">
      <c r="A10" s="2" t="s">
        <v>37</v>
      </c>
      <c r="B10" s="3">
        <v>0.97</v>
      </c>
      <c r="C10" s="3">
        <v>0.03</v>
      </c>
      <c r="D10" s="4">
        <f>21/3.413</f>
        <v>6.1529446234983887</v>
      </c>
      <c r="E10" s="5" t="s">
        <v>44</v>
      </c>
      <c r="F10" s="2">
        <v>0</v>
      </c>
      <c r="G10" s="2">
        <v>0</v>
      </c>
      <c r="H10" s="2">
        <v>0</v>
      </c>
      <c r="I10" s="2">
        <v>0</v>
      </c>
      <c r="J10" s="8">
        <f>D10</f>
        <v>6.1529446234983887</v>
      </c>
      <c r="K10" s="5" t="s">
        <v>7</v>
      </c>
    </row>
    <row r="11" spans="1:12" x14ac:dyDescent="0.2">
      <c r="A11" s="2" t="s">
        <v>42</v>
      </c>
      <c r="B11" s="3">
        <v>0.97</v>
      </c>
      <c r="C11" s="3">
        <v>0.02</v>
      </c>
      <c r="D11" s="7">
        <v>2.9</v>
      </c>
      <c r="E11" s="5" t="s">
        <v>44</v>
      </c>
      <c r="F11" s="2">
        <v>0</v>
      </c>
      <c r="G11" s="2">
        <v>0</v>
      </c>
      <c r="H11" s="2">
        <v>0</v>
      </c>
      <c r="I11" s="2">
        <v>0</v>
      </c>
      <c r="J11" s="2">
        <v>2.9</v>
      </c>
      <c r="K11" s="5" t="s">
        <v>7</v>
      </c>
    </row>
    <row r="12" spans="1:12" x14ac:dyDescent="0.2">
      <c r="A12" s="2" t="s">
        <v>40</v>
      </c>
      <c r="B12" s="3">
        <v>0.97</v>
      </c>
      <c r="C12" s="3">
        <v>0.05</v>
      </c>
      <c r="D12" s="3">
        <v>5.5</v>
      </c>
      <c r="E12" s="5" t="s">
        <v>44</v>
      </c>
      <c r="F12" s="2">
        <v>0</v>
      </c>
      <c r="G12" s="2">
        <v>0</v>
      </c>
      <c r="H12" s="2">
        <v>0</v>
      </c>
      <c r="I12" s="2">
        <v>0</v>
      </c>
      <c r="J12" s="2">
        <v>5.5</v>
      </c>
      <c r="K12" s="5" t="s">
        <v>7</v>
      </c>
    </row>
    <row r="13" spans="1:12" x14ac:dyDescent="0.2">
      <c r="A13" s="2" t="s">
        <v>41</v>
      </c>
      <c r="B13" s="3">
        <v>0.97</v>
      </c>
      <c r="C13" s="3">
        <v>0.05</v>
      </c>
      <c r="D13" s="7">
        <v>3.7</v>
      </c>
      <c r="E13" s="5" t="s">
        <v>44</v>
      </c>
      <c r="F13" s="2">
        <v>0</v>
      </c>
      <c r="G13" s="2">
        <v>0</v>
      </c>
      <c r="H13" s="2">
        <v>0</v>
      </c>
      <c r="I13" s="2">
        <v>0</v>
      </c>
      <c r="J13" s="2">
        <v>3.7</v>
      </c>
      <c r="K13" s="5" t="s">
        <v>7</v>
      </c>
    </row>
    <row r="14" spans="1:12" x14ac:dyDescent="0.2">
      <c r="A14" s="2" t="s">
        <v>12</v>
      </c>
      <c r="B14" s="3"/>
      <c r="C14" s="3"/>
      <c r="D14" s="3"/>
      <c r="E14" s="2"/>
      <c r="F14" s="2"/>
      <c r="G14" s="2"/>
      <c r="H14" s="2"/>
      <c r="I14" s="2"/>
      <c r="J14" s="2"/>
      <c r="K14" s="5"/>
    </row>
    <row r="15" spans="1:12" ht="15.75" x14ac:dyDescent="0.25">
      <c r="B15"/>
      <c r="C15"/>
      <c r="D15"/>
      <c r="E15"/>
      <c r="F15"/>
      <c r="G15"/>
      <c r="H15"/>
      <c r="I15"/>
      <c r="J15"/>
      <c r="K15"/>
    </row>
    <row r="16" spans="1:12" ht="15.75" x14ac:dyDescent="0.25">
      <c r="B16"/>
      <c r="C16"/>
      <c r="D16"/>
      <c r="E16"/>
      <c r="F16"/>
      <c r="G16"/>
      <c r="H16"/>
      <c r="I16"/>
      <c r="J16"/>
      <c r="K16"/>
    </row>
    <row r="19" spans="1:2" x14ac:dyDescent="0.2">
      <c r="A19" s="1" t="s">
        <v>17</v>
      </c>
      <c r="B19" s="1" t="s">
        <v>18</v>
      </c>
    </row>
    <row r="20" spans="1:2" x14ac:dyDescent="0.2">
      <c r="A20" s="1" t="s">
        <v>1</v>
      </c>
      <c r="B20" s="1" t="s">
        <v>19</v>
      </c>
    </row>
    <row r="21" spans="1:2" x14ac:dyDescent="0.2">
      <c r="A21" s="1" t="s">
        <v>20</v>
      </c>
      <c r="B21" s="1" t="s">
        <v>21</v>
      </c>
    </row>
    <row r="22" spans="1:2" x14ac:dyDescent="0.2">
      <c r="A22" s="1" t="s">
        <v>22</v>
      </c>
      <c r="B22" s="1" t="s">
        <v>23</v>
      </c>
    </row>
    <row r="23" spans="1:2" x14ac:dyDescent="0.2">
      <c r="A23" s="1" t="s">
        <v>24</v>
      </c>
      <c r="B23" s="1" t="s">
        <v>25</v>
      </c>
    </row>
    <row r="24" spans="1:2" x14ac:dyDescent="0.2">
      <c r="A24" s="1" t="s">
        <v>26</v>
      </c>
      <c r="B24" s="1" t="s">
        <v>5</v>
      </c>
    </row>
    <row r="25" spans="1:2" x14ac:dyDescent="0.2">
      <c r="A25" s="1" t="s">
        <v>27</v>
      </c>
      <c r="B25" s="1" t="s">
        <v>6</v>
      </c>
    </row>
    <row r="26" spans="1:2" x14ac:dyDescent="0.2">
      <c r="A26" s="1" t="s">
        <v>28</v>
      </c>
      <c r="B26" s="1" t="s">
        <v>29</v>
      </c>
    </row>
    <row r="27" spans="1:2" x14ac:dyDescent="0.2">
      <c r="A27" s="1" t="s">
        <v>3</v>
      </c>
      <c r="B27" s="1" t="s">
        <v>30</v>
      </c>
    </row>
    <row r="28" spans="1:2" x14ac:dyDescent="0.2">
      <c r="A28" s="1" t="s">
        <v>2</v>
      </c>
      <c r="B28" s="1" t="s">
        <v>31</v>
      </c>
    </row>
    <row r="29" spans="1:2" x14ac:dyDescent="0.2">
      <c r="A29" s="1" t="s">
        <v>32</v>
      </c>
      <c r="B29" s="1" t="s">
        <v>33</v>
      </c>
    </row>
    <row r="30" spans="1:2" x14ac:dyDescent="0.2">
      <c r="A30" s="1" t="s">
        <v>4</v>
      </c>
      <c r="B30" s="1" t="s">
        <v>8</v>
      </c>
    </row>
    <row r="31" spans="1:2" x14ac:dyDescent="0.2">
      <c r="A31" s="1" t="s">
        <v>34</v>
      </c>
      <c r="B31" s="1" t="s">
        <v>35</v>
      </c>
    </row>
    <row r="32" spans="1:2" x14ac:dyDescent="0.2">
      <c r="A32" s="1" t="s">
        <v>36</v>
      </c>
      <c r="B32" s="1" t="s">
        <v>9</v>
      </c>
    </row>
    <row r="33" spans="1:2" x14ac:dyDescent="0.2">
      <c r="A33" s="1" t="s">
        <v>37</v>
      </c>
      <c r="B33" s="1" t="s">
        <v>10</v>
      </c>
    </row>
    <row r="34" spans="1:2" x14ac:dyDescent="0.2">
      <c r="A34" s="1" t="s">
        <v>42</v>
      </c>
      <c r="B34" s="1" t="s">
        <v>11</v>
      </c>
    </row>
    <row r="35" spans="1:2" x14ac:dyDescent="0.2">
      <c r="A35" s="1" t="s">
        <v>39</v>
      </c>
      <c r="B35" s="1" t="s">
        <v>38</v>
      </c>
    </row>
    <row r="36" spans="1:2" x14ac:dyDescent="0.2">
      <c r="A36" s="1" t="s">
        <v>40</v>
      </c>
      <c r="B36" s="1" t="s">
        <v>15</v>
      </c>
    </row>
    <row r="37" spans="1:2" x14ac:dyDescent="0.2">
      <c r="A37" s="1" t="s">
        <v>41</v>
      </c>
      <c r="B37" s="1" t="s">
        <v>16</v>
      </c>
    </row>
    <row r="38" spans="1:2" x14ac:dyDescent="0.2">
      <c r="A38" s="1" t="s">
        <v>12</v>
      </c>
      <c r="B38" s="1" t="s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heatSystemData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Harvey</dc:creator>
  <cp:lastModifiedBy>Michael Sullivan</cp:lastModifiedBy>
  <dcterms:created xsi:type="dcterms:W3CDTF">2025-03-18T13:37:37Z</dcterms:created>
  <dcterms:modified xsi:type="dcterms:W3CDTF">2025-05-08T16:32:49Z</dcterms:modified>
</cp:coreProperties>
</file>